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quential" sheetId="1" state="visible" r:id="rId1"/>
    <sheet name="Parallel" sheetId="2" state="visible" r:id="rId2"/>
    <sheet name="PartA_Model" sheetId="3" state="visible" r:id="rId3"/>
    <sheet name="PartB_Scal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color rgb="000000FF"/>
    </font>
    <font>
      <name val="Arial"/>
      <i val="1"/>
      <sz val="9"/>
    </font>
    <font>
      <name val="Arial"/>
      <b val="1"/>
      <color rgb="000000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T1(n) mesuré vs modèle theorique C*n^3</a:t>
            </a:r>
          </a:p>
        </rich>
      </tx>
    </title>
    <plotArea>
      <scatterChart>
        <ser>
          <idx val="0"/>
          <order val="0"/>
          <tx>
            <strRef>
              <f>'PartA_Model'!B4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xVal>
            <numRef>
              <f>'PartA_Model'!$A$5:$A$10</f>
            </numRef>
          </xVal>
          <yVal>
            <numRef>
              <f>'PartA_Model'!$B$5:$B$10</f>
            </numRef>
          </yVal>
        </ser>
        <ser>
          <idx val="1"/>
          <order val="1"/>
          <tx>
            <strRef>
              <f>'PartA_Model'!C4</f>
            </strRef>
          </tx>
          <spPr>
            <a:ln>
              <a:prstDash val="solid"/>
            </a:ln>
          </spPr>
          <marker>
            <symbol val="diamond"/>
            <size val="7"/>
            <spPr>
              <a:ln>
                <a:prstDash val="solid"/>
              </a:ln>
            </spPr>
          </marker>
          <xVal>
            <numRef>
              <f>'PartA_Model'!$A$5:$A$10</f>
            </numRef>
          </xVal>
          <yVal>
            <numRef>
              <f>'PartA_Model'!$C$5:$C$10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 (taille de la matrice)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Temps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log10(T1) vs log10(n) — pente attendue ~3</a:t>
            </a:r>
          </a:p>
        </rich>
      </tx>
    </title>
    <plotArea>
      <scatterChart>
        <ser>
          <idx val="0"/>
          <order val="0"/>
          <tx>
            <v>log10(T1)</v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xVal>
            <numRef>
              <f>'PartA_Model'!$D$5:$D$10</f>
            </numRef>
          </xVal>
          <yVal>
            <numRef>
              <f>'PartA_Model'!$E$4:$E$10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log10(n)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log10(T1 en 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Temps d'execution Tp vs p</a:t>
            </a:r>
          </a:p>
        </rich>
      </tx>
    </title>
    <plotArea>
      <scatterChart>
        <ser>
          <idx val="0"/>
          <order val="0"/>
          <tx>
            <v>n=200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'PartB_Scaling'!$B$2:$B$5</f>
            </numRef>
          </xVal>
          <yVal>
            <numRef>
              <f>'PartB_Scaling'!$C$2:$C$5</f>
            </numRef>
          </yVal>
        </ser>
        <ser>
          <idx val="1"/>
          <order val="1"/>
          <tx>
            <v>n=400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'PartB_Scaling'!$B$6:$B$9</f>
            </numRef>
          </xVal>
          <yVal>
            <numRef>
              <f>'PartB_Scaling'!$C$6:$C$9</f>
            </numRef>
          </yVal>
        </ser>
        <ser>
          <idx val="2"/>
          <order val="2"/>
          <tx>
            <v>n=800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'PartB_Scaling'!$B$10:$B$13</f>
            </numRef>
          </xVal>
          <yVal>
            <numRef>
              <f>'PartB_Scaling'!$C$10:$C$13</f>
            </numRef>
          </yVal>
        </ser>
        <ser>
          <idx val="3"/>
          <order val="3"/>
          <tx>
            <v>n=1200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'PartB_Scaling'!$B$14:$B$17</f>
            </numRef>
          </xVal>
          <yVal>
            <numRef>
              <f>'PartB_Scaling'!$C$14:$C$17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 (nombre de processus)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Temps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Speedup Sp vs p (avec ligne ideale)</a:t>
            </a:r>
          </a:p>
        </rich>
      </tx>
    </title>
    <plotArea>
      <scatterChart>
        <ser>
          <idx val="0"/>
          <order val="0"/>
          <tx>
            <v>n=200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'PartB_Scaling'!$B$2:$B$5</f>
            </numRef>
          </xVal>
          <yVal>
            <numRef>
              <f>'PartB_Scaling'!$E$2:$E$5</f>
            </numRef>
          </yVal>
        </ser>
        <ser>
          <idx val="1"/>
          <order val="1"/>
          <tx>
            <v>n=400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'PartB_Scaling'!$B$6:$B$9</f>
            </numRef>
          </xVal>
          <yVal>
            <numRef>
              <f>'PartB_Scaling'!$E$6:$E$9</f>
            </numRef>
          </yVal>
        </ser>
        <ser>
          <idx val="2"/>
          <order val="2"/>
          <tx>
            <v>n=800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'PartB_Scaling'!$B$10:$B$13</f>
            </numRef>
          </xVal>
          <yVal>
            <numRef>
              <f>'PartB_Scaling'!$E$10:$E$13</f>
            </numRef>
          </yVal>
        </ser>
        <ser>
          <idx val="3"/>
          <order val="3"/>
          <tx>
            <v>n=1200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'PartB_Scaling'!$B$14:$B$17</f>
            </numRef>
          </xVal>
          <yVal>
            <numRef>
              <f>'PartB_Scaling'!$E$14:$E$17</f>
            </numRef>
          </yVal>
        </ser>
        <ser>
          <idx val="4"/>
          <order val="4"/>
          <tx>
            <v>Ideal (Sp=p)</v>
          </tx>
          <spPr>
            <a:ln>
              <a:prstDash val="dash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xVal>
            <numRef>
              <f>'PartB_Scaling'!$B$2:$B$5</f>
            </numRef>
          </xVal>
          <yVal>
            <numRef>
              <f>'PartB_Scaling'!$G$2:$G$5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 (nombre de processus)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Speedup Sp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Efficacite Ep vs p</a:t>
            </a:r>
          </a:p>
        </rich>
      </tx>
    </title>
    <plotArea>
      <scatterChart>
        <ser>
          <idx val="0"/>
          <order val="0"/>
          <tx>
            <v>n=200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'PartB_Scaling'!$B$2:$B$5</f>
            </numRef>
          </xVal>
          <yVal>
            <numRef>
              <f>'PartB_Scaling'!$F$2:$F$5</f>
            </numRef>
          </yVal>
        </ser>
        <ser>
          <idx val="1"/>
          <order val="1"/>
          <tx>
            <v>n=400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'PartB_Scaling'!$B$6:$B$9</f>
            </numRef>
          </xVal>
          <yVal>
            <numRef>
              <f>'PartB_Scaling'!$F$6:$F$9</f>
            </numRef>
          </yVal>
        </ser>
        <ser>
          <idx val="2"/>
          <order val="2"/>
          <tx>
            <v>n=800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'PartB_Scaling'!$B$10:$B$13</f>
            </numRef>
          </xVal>
          <yVal>
            <numRef>
              <f>'PartB_Scaling'!$F$10:$F$13</f>
            </numRef>
          </yVal>
        </ser>
        <ser>
          <idx val="3"/>
          <order val="3"/>
          <tx>
            <v>n=1200</v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'PartB_Scaling'!$B$14:$B$17</f>
            </numRef>
          </xVal>
          <yVal>
            <numRef>
              <f>'PartB_Scaling'!$F$14:$F$17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 (nombre de processus)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Efficacite Ep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23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41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n</t>
        </is>
      </c>
      <c r="B1" s="1" t="inlineStr">
        <is>
          <t>rep1_ms</t>
        </is>
      </c>
      <c r="C1" s="1" t="inlineStr">
        <is>
          <t>rep2_ms</t>
        </is>
      </c>
      <c r="D1" s="1" t="inlineStr">
        <is>
          <t>rep3_ms</t>
        </is>
      </c>
      <c r="E1" s="1" t="inlineStr">
        <is>
          <t>T1_avg_ms</t>
        </is>
      </c>
    </row>
    <row r="2">
      <c r="A2" s="2" t="n">
        <v>100</v>
      </c>
      <c r="B2" s="3" t="n">
        <v>0.82065</v>
      </c>
      <c r="C2" s="3" t="n">
        <v>0.7025709999999999</v>
      </c>
      <c r="D2" s="3" t="n">
        <v>0.813551</v>
      </c>
      <c r="E2" s="2">
        <f>AVERAGE(B2:D2)</f>
        <v/>
      </c>
    </row>
    <row r="3">
      <c r="A3" s="2" t="n">
        <v>200</v>
      </c>
      <c r="B3" s="3" t="n">
        <v>7.58591</v>
      </c>
      <c r="C3" s="3" t="n">
        <v>8.53543</v>
      </c>
      <c r="D3" s="3" t="n">
        <v>8.1876</v>
      </c>
      <c r="E3" s="2">
        <f>AVERAGE(B3:D3)</f>
        <v/>
      </c>
    </row>
    <row r="4">
      <c r="A4" s="2" t="n">
        <v>400</v>
      </c>
      <c r="B4" s="3" t="n">
        <v>62.9141</v>
      </c>
      <c r="C4" s="3" t="n">
        <v>63.3766</v>
      </c>
      <c r="D4" s="3" t="n">
        <v>72.83029999999999</v>
      </c>
      <c r="E4" s="2">
        <f>AVERAGE(B4:D4)</f>
        <v/>
      </c>
    </row>
    <row r="5">
      <c r="A5" s="2" t="n">
        <v>800</v>
      </c>
      <c r="B5" s="3" t="n">
        <v>907.1559999999999</v>
      </c>
      <c r="C5" s="3" t="n">
        <v>1277.68</v>
      </c>
      <c r="D5" s="3" t="n">
        <v>811.241</v>
      </c>
      <c r="E5" s="2">
        <f>AVERAGE(B5:D5)</f>
        <v/>
      </c>
    </row>
    <row r="6">
      <c r="A6" s="2" t="n">
        <v>1200</v>
      </c>
      <c r="B6" s="3" t="n">
        <v>3811.47</v>
      </c>
      <c r="C6" s="3" t="n">
        <v>3763.77</v>
      </c>
      <c r="D6" s="3" t="n">
        <v>3741.68</v>
      </c>
      <c r="E6" s="2">
        <f>AVERAGE(B6:D6)</f>
        <v/>
      </c>
    </row>
    <row r="7">
      <c r="A7" s="2" t="n">
        <v>1600</v>
      </c>
      <c r="B7" s="3" t="n">
        <v>22814.9</v>
      </c>
      <c r="C7" s="3" t="n">
        <v>22945.6</v>
      </c>
      <c r="D7" s="3" t="n">
        <v>22457.8</v>
      </c>
      <c r="E7" s="2">
        <f>AVERAGE(B7:D7)</f>
        <v/>
      </c>
    </row>
    <row r="8">
      <c r="A8" s="2" t="n"/>
      <c r="B8" s="2" t="n"/>
      <c r="C8" s="2" t="n"/>
      <c r="D8" s="2" t="n"/>
      <c r="E8" s="2" t="n"/>
    </row>
    <row r="9">
      <c r="A9" s="4" t="inlineStr">
        <is>
          <t>Source: measured on the user's machine (WSL2 Ubuntu, Intel i3-10110U, 4 logical cores), 2026-09-19. Matrices filled with constants (A=2, B=3); values chosen arbitrarily since only timing (not the result) matters for this benchmark.</t>
        </is>
      </c>
      <c r="B9" s="2" t="n"/>
      <c r="C9" s="2" t="n"/>
      <c r="D9" s="2" t="n"/>
      <c r="E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n</t>
        </is>
      </c>
      <c r="B1" s="1" t="inlineStr">
        <is>
          <t>p</t>
        </is>
      </c>
      <c r="C1" s="1" t="inlineStr">
        <is>
          <t>rep1_ms</t>
        </is>
      </c>
      <c r="D1" s="1" t="inlineStr">
        <is>
          <t>rep2_ms</t>
        </is>
      </c>
      <c r="E1" s="1" t="inlineStr">
        <is>
          <t>rep3_ms</t>
        </is>
      </c>
      <c r="F1" s="1" t="inlineStr">
        <is>
          <t>Tp_avg_ms</t>
        </is>
      </c>
    </row>
    <row r="2">
      <c r="A2" s="2" t="n">
        <v>200</v>
      </c>
      <c r="B2" s="2" t="n">
        <v>1</v>
      </c>
      <c r="C2" s="3" t="n">
        <v>6.92593</v>
      </c>
      <c r="D2" s="3" t="n">
        <v>8.093209999999999</v>
      </c>
      <c r="E2" s="3" t="n">
        <v>11.313</v>
      </c>
      <c r="F2" s="2">
        <f>AVERAGE(C2:E2)</f>
        <v/>
      </c>
    </row>
    <row r="3">
      <c r="A3" s="2" t="n">
        <v>200</v>
      </c>
      <c r="B3" s="2" t="n">
        <v>2</v>
      </c>
      <c r="C3" s="3" t="n">
        <v>8.93206</v>
      </c>
      <c r="D3" s="3" t="n">
        <v>6.61358</v>
      </c>
      <c r="E3" s="3" t="n">
        <v>6.67557</v>
      </c>
      <c r="F3" s="2">
        <f>AVERAGE(C3:E3)</f>
        <v/>
      </c>
    </row>
    <row r="4">
      <c r="A4" s="2" t="n">
        <v>200</v>
      </c>
      <c r="B4" s="2" t="n">
        <v>4</v>
      </c>
      <c r="C4" s="3" t="n">
        <v>7.0664</v>
      </c>
      <c r="D4" s="3" t="n">
        <v>6.99441</v>
      </c>
      <c r="E4" s="3" t="n">
        <v>7.44423</v>
      </c>
      <c r="F4" s="2">
        <f>AVERAGE(C4:E4)</f>
        <v/>
      </c>
    </row>
    <row r="5">
      <c r="A5" s="2" t="n">
        <v>200</v>
      </c>
      <c r="B5" s="2" t="n">
        <v>8</v>
      </c>
      <c r="C5" s="3" t="n">
        <v>7.93414</v>
      </c>
      <c r="D5" s="3" t="n">
        <v>8.131</v>
      </c>
      <c r="E5" s="3" t="n">
        <v>7.80017</v>
      </c>
      <c r="F5" s="2">
        <f>AVERAGE(C5:E5)</f>
        <v/>
      </c>
    </row>
    <row r="6">
      <c r="A6" s="2" t="n">
        <v>400</v>
      </c>
      <c r="B6" s="2" t="n">
        <v>1</v>
      </c>
      <c r="C6" s="3" t="n">
        <v>62.0288</v>
      </c>
      <c r="D6" s="3" t="n">
        <v>77.38030000000001</v>
      </c>
      <c r="E6" s="3" t="n">
        <v>80.6404</v>
      </c>
      <c r="F6" s="2">
        <f>AVERAGE(C6:E6)</f>
        <v/>
      </c>
    </row>
    <row r="7">
      <c r="A7" s="2" t="n">
        <v>400</v>
      </c>
      <c r="B7" s="2" t="n">
        <v>2</v>
      </c>
      <c r="C7" s="3" t="n">
        <v>68.5077</v>
      </c>
      <c r="D7" s="3" t="n">
        <v>77.1718</v>
      </c>
      <c r="E7" s="3" t="n">
        <v>72.1694</v>
      </c>
      <c r="F7" s="2">
        <f>AVERAGE(C7:E7)</f>
        <v/>
      </c>
    </row>
    <row r="8">
      <c r="A8" s="2" t="n">
        <v>400</v>
      </c>
      <c r="B8" s="2" t="n">
        <v>4</v>
      </c>
      <c r="C8" s="3" t="n">
        <v>81.628</v>
      </c>
      <c r="D8" s="3" t="n">
        <v>71.2496</v>
      </c>
      <c r="E8" s="3" t="n">
        <v>70.316</v>
      </c>
      <c r="F8" s="2">
        <f>AVERAGE(C8:E8)</f>
        <v/>
      </c>
    </row>
    <row r="9">
      <c r="A9" s="2" t="n">
        <v>400</v>
      </c>
      <c r="B9" s="2" t="n">
        <v>8</v>
      </c>
      <c r="C9" s="3" t="n">
        <v>73.8481</v>
      </c>
      <c r="D9" s="3" t="n">
        <v>81.6472</v>
      </c>
      <c r="E9" s="3" t="n">
        <v>70.8544</v>
      </c>
      <c r="F9" s="2">
        <f>AVERAGE(C9:E9)</f>
        <v/>
      </c>
    </row>
    <row r="10">
      <c r="A10" s="2" t="n">
        <v>800</v>
      </c>
      <c r="B10" s="2" t="n">
        <v>1</v>
      </c>
      <c r="C10" s="3" t="n">
        <v>729.384</v>
      </c>
      <c r="D10" s="3" t="n">
        <v>773.5650000000001</v>
      </c>
      <c r="E10" s="3" t="n">
        <v>828.981</v>
      </c>
      <c r="F10" s="2">
        <f>AVERAGE(C10:E10)</f>
        <v/>
      </c>
    </row>
    <row r="11">
      <c r="A11" s="2" t="n">
        <v>800</v>
      </c>
      <c r="B11" s="2" t="n">
        <v>2</v>
      </c>
      <c r="C11" s="3" t="n">
        <v>813.365</v>
      </c>
      <c r="D11" s="3" t="n">
        <v>905.141</v>
      </c>
      <c r="E11" s="3" t="n">
        <v>785.884</v>
      </c>
      <c r="F11" s="2">
        <f>AVERAGE(C11:E11)</f>
        <v/>
      </c>
    </row>
    <row r="12">
      <c r="A12" s="2" t="n">
        <v>800</v>
      </c>
      <c r="B12" s="2" t="n">
        <v>4</v>
      </c>
      <c r="C12" s="3" t="n">
        <v>771.962</v>
      </c>
      <c r="D12" s="3" t="n">
        <v>776.867</v>
      </c>
      <c r="E12" s="3" t="n">
        <v>784.885</v>
      </c>
      <c r="F12" s="2">
        <f>AVERAGE(C12:E12)</f>
        <v/>
      </c>
    </row>
    <row r="13">
      <c r="A13" s="2" t="n">
        <v>800</v>
      </c>
      <c r="B13" s="2" t="n">
        <v>8</v>
      </c>
      <c r="C13" s="3" t="n">
        <v>761.254</v>
      </c>
      <c r="D13" s="3" t="n">
        <v>693.001</v>
      </c>
      <c r="E13" s="3" t="n">
        <v>728.208</v>
      </c>
      <c r="F13" s="2">
        <f>AVERAGE(C13:E13)</f>
        <v/>
      </c>
    </row>
    <row r="14">
      <c r="A14" s="2" t="n">
        <v>1200</v>
      </c>
      <c r="B14" s="2" t="n">
        <v>1</v>
      </c>
      <c r="C14" s="3" t="n">
        <v>3499.11</v>
      </c>
      <c r="D14" s="3" t="n">
        <v>3616.98</v>
      </c>
      <c r="E14" s="3" t="n">
        <v>3529.73</v>
      </c>
      <c r="F14" s="2">
        <f>AVERAGE(C14:E14)</f>
        <v/>
      </c>
    </row>
    <row r="15">
      <c r="A15" s="2" t="n">
        <v>1200</v>
      </c>
      <c r="B15" s="2" t="n">
        <v>2</v>
      </c>
      <c r="C15" s="3" t="n">
        <v>3714.31</v>
      </c>
      <c r="D15" s="3" t="n">
        <v>4073.73</v>
      </c>
      <c r="E15" s="3" t="n">
        <v>5262.76</v>
      </c>
      <c r="F15" s="2">
        <f>AVERAGE(C15:E15)</f>
        <v/>
      </c>
    </row>
    <row r="16">
      <c r="A16" s="2" t="n">
        <v>1200</v>
      </c>
      <c r="B16" s="2" t="n">
        <v>4</v>
      </c>
      <c r="C16" s="3" t="n">
        <v>4046.22</v>
      </c>
      <c r="D16" s="3" t="n">
        <v>4085.8</v>
      </c>
      <c r="E16" s="3" t="n">
        <v>4705.4</v>
      </c>
      <c r="F16" s="2">
        <f>AVERAGE(C16:E16)</f>
        <v/>
      </c>
    </row>
    <row r="17">
      <c r="A17" s="2" t="n">
        <v>1200</v>
      </c>
      <c r="B17" s="2" t="n">
        <v>8</v>
      </c>
      <c r="C17" s="3" t="n">
        <v>4952.59</v>
      </c>
      <c r="D17" s="3" t="n">
        <v>3865.28</v>
      </c>
      <c r="E17" s="3" t="n">
        <v>3830.51</v>
      </c>
      <c r="F17" s="2">
        <f>AVERAGE(C17:E17)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5" t="inlineStr">
        <is>
          <t>Reference size n0:</t>
        </is>
      </c>
      <c r="B1" s="6" t="n">
        <v>800</v>
      </c>
      <c r="C1" s="2" t="n"/>
      <c r="D1" s="2" t="n"/>
      <c r="E1" s="2" t="n"/>
      <c r="F1" s="2" t="n"/>
    </row>
    <row r="2">
      <c r="A2" s="5" t="inlineStr">
        <is>
          <t>C = T1(n0) / n0^3 (ms per unit n^3):</t>
        </is>
      </c>
      <c r="B2" s="2">
        <f>INDEX(Sequential!$E$2:$E$7,MATCH(B1,Sequential!$A$2:$A$7,0))/(B1^3)</f>
        <v/>
      </c>
      <c r="C2" s="2" t="n"/>
      <c r="D2" s="5" t="inlineStr">
        <is>
          <t>Log-log slope (expected ~3):</t>
        </is>
      </c>
      <c r="E2" s="2">
        <f>SLOPE(E5:E10,D5:D10)</f>
        <v/>
      </c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1" t="inlineStr">
        <is>
          <t>n</t>
        </is>
      </c>
      <c r="B4" s="1" t="inlineStr">
        <is>
          <t>T1_measured_ms</t>
        </is>
      </c>
      <c r="C4" s="1" t="inlineStr">
        <is>
          <t>Tmodel_C_n3_ms</t>
        </is>
      </c>
      <c r="D4" s="1" t="inlineStr">
        <is>
          <t>log10(n)</t>
        </is>
      </c>
      <c r="E4" s="1" t="inlineStr">
        <is>
          <t>log10(T1)</t>
        </is>
      </c>
      <c r="F4" s="1" t="inlineStr">
        <is>
          <t>R(n)=T1(2n)/T1(n)</t>
        </is>
      </c>
    </row>
    <row r="5">
      <c r="A5" s="2" t="n">
        <v>100</v>
      </c>
      <c r="B5" s="2">
        <f>INDEX(Sequential!$E$2:$E$7,MATCH(A5,Sequential!$A$2:$A$7,0))</f>
        <v/>
      </c>
      <c r="C5" s="2">
        <f>$B$2*A5^3</f>
        <v/>
      </c>
      <c r="D5" s="2">
        <f>LOG10(A5)</f>
        <v/>
      </c>
      <c r="E5" s="2">
        <f>LOG10(B5)</f>
        <v/>
      </c>
      <c r="F5" s="2">
        <f>IFERROR(INDEX(Sequential!$E$2:$E$7,MATCH(2*A5,Sequential!$A$2:$A$7,0))/B5,"")</f>
        <v/>
      </c>
    </row>
    <row r="6">
      <c r="A6" s="2" t="n">
        <v>200</v>
      </c>
      <c r="B6" s="2">
        <f>INDEX(Sequential!$E$2:$E$7,MATCH(A6,Sequential!$A$2:$A$7,0))</f>
        <v/>
      </c>
      <c r="C6" s="2">
        <f>$B$2*A6^3</f>
        <v/>
      </c>
      <c r="D6" s="2">
        <f>LOG10(A6)</f>
        <v/>
      </c>
      <c r="E6" s="2">
        <f>LOG10(B6)</f>
        <v/>
      </c>
      <c r="F6" s="2">
        <f>IFERROR(INDEX(Sequential!$E$2:$E$7,MATCH(2*A6,Sequential!$A$2:$A$7,0))/B6,"")</f>
        <v/>
      </c>
    </row>
    <row r="7">
      <c r="A7" s="2" t="n">
        <v>400</v>
      </c>
      <c r="B7" s="2">
        <f>INDEX(Sequential!$E$2:$E$7,MATCH(A7,Sequential!$A$2:$A$7,0))</f>
        <v/>
      </c>
      <c r="C7" s="2">
        <f>$B$2*A7^3</f>
        <v/>
      </c>
      <c r="D7" s="2">
        <f>LOG10(A7)</f>
        <v/>
      </c>
      <c r="E7" s="2">
        <f>LOG10(B7)</f>
        <v/>
      </c>
      <c r="F7" s="2">
        <f>IFERROR(INDEX(Sequential!$E$2:$E$7,MATCH(2*A7,Sequential!$A$2:$A$7,0))/B7,"")</f>
        <v/>
      </c>
    </row>
    <row r="8">
      <c r="A8" s="2" t="n">
        <v>800</v>
      </c>
      <c r="B8" s="2">
        <f>INDEX(Sequential!$E$2:$E$7,MATCH(A8,Sequential!$A$2:$A$7,0))</f>
        <v/>
      </c>
      <c r="C8" s="2">
        <f>$B$2*A8^3</f>
        <v/>
      </c>
      <c r="D8" s="2">
        <f>LOG10(A8)</f>
        <v/>
      </c>
      <c r="E8" s="2">
        <f>LOG10(B8)</f>
        <v/>
      </c>
      <c r="F8" s="2">
        <f>IFERROR(INDEX(Sequential!$E$2:$E$7,MATCH(2*A8,Sequential!$A$2:$A$7,0))/B8,"")</f>
        <v/>
      </c>
    </row>
    <row r="9">
      <c r="A9" s="2" t="n">
        <v>1200</v>
      </c>
      <c r="B9" s="2">
        <f>INDEX(Sequential!$E$2:$E$7,MATCH(A9,Sequential!$A$2:$A$7,0))</f>
        <v/>
      </c>
      <c r="C9" s="2">
        <f>$B$2*A9^3</f>
        <v/>
      </c>
      <c r="D9" s="2">
        <f>LOG10(A9)</f>
        <v/>
      </c>
      <c r="E9" s="2">
        <f>LOG10(B9)</f>
        <v/>
      </c>
      <c r="F9" s="2">
        <f>IFERROR(INDEX(Sequential!$E$2:$E$7,MATCH(2*A9,Sequential!$A$2:$A$7,0))/B9,"")</f>
        <v/>
      </c>
    </row>
    <row r="10">
      <c r="A10" s="2" t="n">
        <v>1600</v>
      </c>
      <c r="B10" s="2">
        <f>INDEX(Sequential!$E$2:$E$7,MATCH(A10,Sequential!$A$2:$A$7,0))</f>
        <v/>
      </c>
      <c r="C10" s="2">
        <f>$B$2*A10^3</f>
        <v/>
      </c>
      <c r="D10" s="2">
        <f>LOG10(A10)</f>
        <v/>
      </c>
      <c r="E10" s="2">
        <f>LOG10(B10)</f>
        <v/>
      </c>
      <c r="F10" s="2">
        <f>IFERROR(INDEX(Sequential!$E$2:$E$7,MATCH(2*A10,Sequential!$A$2:$A$7,0))/B10,"")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n</t>
        </is>
      </c>
      <c r="B1" s="1" t="inlineStr">
        <is>
          <t>p</t>
        </is>
      </c>
      <c r="C1" s="1" t="inlineStr">
        <is>
          <t>Tp_avg_ms</t>
        </is>
      </c>
      <c r="D1" s="1" t="inlineStr">
        <is>
          <t>T1(n)_ms</t>
        </is>
      </c>
      <c r="E1" s="1" t="inlineStr">
        <is>
          <t>Sp (speedup)</t>
        </is>
      </c>
      <c r="F1" s="1" t="inlineStr">
        <is>
          <t>Ep (efficiency)</t>
        </is>
      </c>
      <c r="G1" s="1" t="inlineStr">
        <is>
          <t>Ideal_Sp</t>
        </is>
      </c>
    </row>
    <row r="2">
      <c r="A2" s="2" t="n">
        <v>200</v>
      </c>
      <c r="B2" s="2" t="n">
        <v>1</v>
      </c>
      <c r="C2" s="2">
        <f>SUMPRODUCT((Parallel!$A$2:$A$17=A2)*(Parallel!$B$2:$B$17=B2)*Parallel!$F$2:$F$17)</f>
        <v/>
      </c>
      <c r="D2" s="2">
        <f>INDEX(Sequential!$E$2:$E$7,MATCH(A2,Sequential!$A$2:$A$7,0))</f>
        <v/>
      </c>
      <c r="E2" s="2">
        <f>D2/C2</f>
        <v/>
      </c>
      <c r="F2" s="2">
        <f>E2/B2</f>
        <v/>
      </c>
      <c r="G2" s="2">
        <f>B2</f>
        <v/>
      </c>
    </row>
    <row r="3">
      <c r="A3" s="2" t="n">
        <v>200</v>
      </c>
      <c r="B3" s="2" t="n">
        <v>2</v>
      </c>
      <c r="C3" s="2">
        <f>SUMPRODUCT((Parallel!$A$2:$A$17=A3)*(Parallel!$B$2:$B$17=B3)*Parallel!$F$2:$F$17)</f>
        <v/>
      </c>
      <c r="D3" s="2">
        <f>INDEX(Sequential!$E$2:$E$7,MATCH(A3,Sequential!$A$2:$A$7,0))</f>
        <v/>
      </c>
      <c r="E3" s="2">
        <f>D3/C3</f>
        <v/>
      </c>
      <c r="F3" s="2">
        <f>E3/B3</f>
        <v/>
      </c>
      <c r="G3" s="2">
        <f>B3</f>
        <v/>
      </c>
    </row>
    <row r="4">
      <c r="A4" s="2" t="n">
        <v>200</v>
      </c>
      <c r="B4" s="2" t="n">
        <v>4</v>
      </c>
      <c r="C4" s="2">
        <f>SUMPRODUCT((Parallel!$A$2:$A$17=A4)*(Parallel!$B$2:$B$17=B4)*Parallel!$F$2:$F$17)</f>
        <v/>
      </c>
      <c r="D4" s="2">
        <f>INDEX(Sequential!$E$2:$E$7,MATCH(A4,Sequential!$A$2:$A$7,0))</f>
        <v/>
      </c>
      <c r="E4" s="2">
        <f>D4/C4</f>
        <v/>
      </c>
      <c r="F4" s="2">
        <f>E4/B4</f>
        <v/>
      </c>
      <c r="G4" s="2">
        <f>B4</f>
        <v/>
      </c>
    </row>
    <row r="5">
      <c r="A5" s="2" t="n">
        <v>200</v>
      </c>
      <c r="B5" s="2" t="n">
        <v>8</v>
      </c>
      <c r="C5" s="2">
        <f>SUMPRODUCT((Parallel!$A$2:$A$17=A5)*(Parallel!$B$2:$B$17=B5)*Parallel!$F$2:$F$17)</f>
        <v/>
      </c>
      <c r="D5" s="2">
        <f>INDEX(Sequential!$E$2:$E$7,MATCH(A5,Sequential!$A$2:$A$7,0))</f>
        <v/>
      </c>
      <c r="E5" s="2">
        <f>D5/C5</f>
        <v/>
      </c>
      <c r="F5" s="2">
        <f>E5/B5</f>
        <v/>
      </c>
      <c r="G5" s="2">
        <f>B5</f>
        <v/>
      </c>
    </row>
    <row r="6">
      <c r="A6" s="2" t="n">
        <v>400</v>
      </c>
      <c r="B6" s="2" t="n">
        <v>1</v>
      </c>
      <c r="C6" s="2">
        <f>SUMPRODUCT((Parallel!$A$2:$A$17=A6)*(Parallel!$B$2:$B$17=B6)*Parallel!$F$2:$F$17)</f>
        <v/>
      </c>
      <c r="D6" s="2">
        <f>INDEX(Sequential!$E$2:$E$7,MATCH(A6,Sequential!$A$2:$A$7,0))</f>
        <v/>
      </c>
      <c r="E6" s="2">
        <f>D6/C6</f>
        <v/>
      </c>
      <c r="F6" s="2">
        <f>E6/B6</f>
        <v/>
      </c>
      <c r="G6" s="2">
        <f>B6</f>
        <v/>
      </c>
    </row>
    <row r="7">
      <c r="A7" s="2" t="n">
        <v>400</v>
      </c>
      <c r="B7" s="2" t="n">
        <v>2</v>
      </c>
      <c r="C7" s="2">
        <f>SUMPRODUCT((Parallel!$A$2:$A$17=A7)*(Parallel!$B$2:$B$17=B7)*Parallel!$F$2:$F$17)</f>
        <v/>
      </c>
      <c r="D7" s="2">
        <f>INDEX(Sequential!$E$2:$E$7,MATCH(A7,Sequential!$A$2:$A$7,0))</f>
        <v/>
      </c>
      <c r="E7" s="2">
        <f>D7/C7</f>
        <v/>
      </c>
      <c r="F7" s="2">
        <f>E7/B7</f>
        <v/>
      </c>
      <c r="G7" s="2">
        <f>B7</f>
        <v/>
      </c>
    </row>
    <row r="8">
      <c r="A8" s="2" t="n">
        <v>400</v>
      </c>
      <c r="B8" s="2" t="n">
        <v>4</v>
      </c>
      <c r="C8" s="2">
        <f>SUMPRODUCT((Parallel!$A$2:$A$17=A8)*(Parallel!$B$2:$B$17=B8)*Parallel!$F$2:$F$17)</f>
        <v/>
      </c>
      <c r="D8" s="2">
        <f>INDEX(Sequential!$E$2:$E$7,MATCH(A8,Sequential!$A$2:$A$7,0))</f>
        <v/>
      </c>
      <c r="E8" s="2">
        <f>D8/C8</f>
        <v/>
      </c>
      <c r="F8" s="2">
        <f>E8/B8</f>
        <v/>
      </c>
      <c r="G8" s="2">
        <f>B8</f>
        <v/>
      </c>
    </row>
    <row r="9">
      <c r="A9" s="2" t="n">
        <v>400</v>
      </c>
      <c r="B9" s="2" t="n">
        <v>8</v>
      </c>
      <c r="C9" s="2">
        <f>SUMPRODUCT((Parallel!$A$2:$A$17=A9)*(Parallel!$B$2:$B$17=B9)*Parallel!$F$2:$F$17)</f>
        <v/>
      </c>
      <c r="D9" s="2">
        <f>INDEX(Sequential!$E$2:$E$7,MATCH(A9,Sequential!$A$2:$A$7,0))</f>
        <v/>
      </c>
      <c r="E9" s="2">
        <f>D9/C9</f>
        <v/>
      </c>
      <c r="F9" s="2">
        <f>E9/B9</f>
        <v/>
      </c>
      <c r="G9" s="2">
        <f>B9</f>
        <v/>
      </c>
    </row>
    <row r="10">
      <c r="A10" s="2" t="n">
        <v>800</v>
      </c>
      <c r="B10" s="2" t="n">
        <v>1</v>
      </c>
      <c r="C10" s="2">
        <f>SUMPRODUCT((Parallel!$A$2:$A$17=A10)*(Parallel!$B$2:$B$17=B10)*Parallel!$F$2:$F$17)</f>
        <v/>
      </c>
      <c r="D10" s="2">
        <f>INDEX(Sequential!$E$2:$E$7,MATCH(A10,Sequential!$A$2:$A$7,0))</f>
        <v/>
      </c>
      <c r="E10" s="2">
        <f>D10/C10</f>
        <v/>
      </c>
      <c r="F10" s="2">
        <f>E10/B10</f>
        <v/>
      </c>
      <c r="G10" s="2">
        <f>B10</f>
        <v/>
      </c>
    </row>
    <row r="11">
      <c r="A11" s="2" t="n">
        <v>800</v>
      </c>
      <c r="B11" s="2" t="n">
        <v>2</v>
      </c>
      <c r="C11" s="2">
        <f>SUMPRODUCT((Parallel!$A$2:$A$17=A11)*(Parallel!$B$2:$B$17=B11)*Parallel!$F$2:$F$17)</f>
        <v/>
      </c>
      <c r="D11" s="2">
        <f>INDEX(Sequential!$E$2:$E$7,MATCH(A11,Sequential!$A$2:$A$7,0))</f>
        <v/>
      </c>
      <c r="E11" s="2">
        <f>D11/C11</f>
        <v/>
      </c>
      <c r="F11" s="2">
        <f>E11/B11</f>
        <v/>
      </c>
      <c r="G11" s="2">
        <f>B11</f>
        <v/>
      </c>
    </row>
    <row r="12">
      <c r="A12" s="2" t="n">
        <v>800</v>
      </c>
      <c r="B12" s="2" t="n">
        <v>4</v>
      </c>
      <c r="C12" s="2">
        <f>SUMPRODUCT((Parallel!$A$2:$A$17=A12)*(Parallel!$B$2:$B$17=B12)*Parallel!$F$2:$F$17)</f>
        <v/>
      </c>
      <c r="D12" s="2">
        <f>INDEX(Sequential!$E$2:$E$7,MATCH(A12,Sequential!$A$2:$A$7,0))</f>
        <v/>
      </c>
      <c r="E12" s="2">
        <f>D12/C12</f>
        <v/>
      </c>
      <c r="F12" s="2">
        <f>E12/B12</f>
        <v/>
      </c>
      <c r="G12" s="2">
        <f>B12</f>
        <v/>
      </c>
    </row>
    <row r="13">
      <c r="A13" s="2" t="n">
        <v>800</v>
      </c>
      <c r="B13" s="2" t="n">
        <v>8</v>
      </c>
      <c r="C13" s="2">
        <f>SUMPRODUCT((Parallel!$A$2:$A$17=A13)*(Parallel!$B$2:$B$17=B13)*Parallel!$F$2:$F$17)</f>
        <v/>
      </c>
      <c r="D13" s="2">
        <f>INDEX(Sequential!$E$2:$E$7,MATCH(A13,Sequential!$A$2:$A$7,0))</f>
        <v/>
      </c>
      <c r="E13" s="2">
        <f>D13/C13</f>
        <v/>
      </c>
      <c r="F13" s="2">
        <f>E13/B13</f>
        <v/>
      </c>
      <c r="G13" s="2">
        <f>B13</f>
        <v/>
      </c>
    </row>
    <row r="14">
      <c r="A14" s="2" t="n">
        <v>1200</v>
      </c>
      <c r="B14" s="2" t="n">
        <v>1</v>
      </c>
      <c r="C14" s="2">
        <f>SUMPRODUCT((Parallel!$A$2:$A$17=A14)*(Parallel!$B$2:$B$17=B14)*Parallel!$F$2:$F$17)</f>
        <v/>
      </c>
      <c r="D14" s="2">
        <f>INDEX(Sequential!$E$2:$E$7,MATCH(A14,Sequential!$A$2:$A$7,0))</f>
        <v/>
      </c>
      <c r="E14" s="2">
        <f>D14/C14</f>
        <v/>
      </c>
      <c r="F14" s="2">
        <f>E14/B14</f>
        <v/>
      </c>
      <c r="G14" s="2">
        <f>B14</f>
        <v/>
      </c>
    </row>
    <row r="15">
      <c r="A15" s="2" t="n">
        <v>1200</v>
      </c>
      <c r="B15" s="2" t="n">
        <v>2</v>
      </c>
      <c r="C15" s="2">
        <f>SUMPRODUCT((Parallel!$A$2:$A$17=A15)*(Parallel!$B$2:$B$17=B15)*Parallel!$F$2:$F$17)</f>
        <v/>
      </c>
      <c r="D15" s="2">
        <f>INDEX(Sequential!$E$2:$E$7,MATCH(A15,Sequential!$A$2:$A$7,0))</f>
        <v/>
      </c>
      <c r="E15" s="2">
        <f>D15/C15</f>
        <v/>
      </c>
      <c r="F15" s="2">
        <f>E15/B15</f>
        <v/>
      </c>
      <c r="G15" s="2">
        <f>B15</f>
        <v/>
      </c>
    </row>
    <row r="16">
      <c r="A16" s="2" t="n">
        <v>1200</v>
      </c>
      <c r="B16" s="2" t="n">
        <v>4</v>
      </c>
      <c r="C16" s="2">
        <f>SUMPRODUCT((Parallel!$A$2:$A$17=A16)*(Parallel!$B$2:$B$17=B16)*Parallel!$F$2:$F$17)</f>
        <v/>
      </c>
      <c r="D16" s="2">
        <f>INDEX(Sequential!$E$2:$E$7,MATCH(A16,Sequential!$A$2:$A$7,0))</f>
        <v/>
      </c>
      <c r="E16" s="2">
        <f>D16/C16</f>
        <v/>
      </c>
      <c r="F16" s="2">
        <f>E16/B16</f>
        <v/>
      </c>
      <c r="G16" s="2">
        <f>B16</f>
        <v/>
      </c>
    </row>
    <row r="17">
      <c r="A17" s="2" t="n">
        <v>1200</v>
      </c>
      <c r="B17" s="2" t="n">
        <v>8</v>
      </c>
      <c r="C17" s="2">
        <f>SUMPRODUCT((Parallel!$A$2:$A$17=A17)*(Parallel!$B$2:$B$17=B17)*Parallel!$F$2:$F$17)</f>
        <v/>
      </c>
      <c r="D17" s="2">
        <f>INDEX(Sequential!$E$2:$E$7,MATCH(A17,Sequential!$A$2:$A$7,0))</f>
        <v/>
      </c>
      <c r="E17" s="2">
        <f>D17/C17</f>
        <v/>
      </c>
      <c r="F17" s="2">
        <f>E17/B17</f>
        <v/>
      </c>
      <c r="G17" s="2">
        <f>B17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2026-09-19T18:33:54Z</dcterms:created>
  <dcterms:modified xsi:type="dcterms:W3CDTF">2026-09-19T18:34:33Z</dcterms:modified>
</cp:coreProperties>
</file>