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charts/chart5.xml" ContentType="application/vnd.openxmlformats-officedocument.drawingml.char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equential" sheetId="1" state="visible" r:id="rId1"/>
    <sheet name="Parallel" sheetId="2" state="visible" r:id="rId2"/>
    <sheet name="PartA_Model" sheetId="3" state="visible" r:id="rId3"/>
    <sheet name="PartB_Scaling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<sst xmlns="http://schemas.openxmlformats.org/spreadsheetml/2006/main" count="19" uniqueCount="19">
  <si>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n</t>
  </si>
  <si>
    <t>rep1_ms</t>
  </si>
  <si>
    <t>rep2_ms</t>
  </si>
  <si>
    <t>rep3_ms</t>
  </si>
  <si>
    <t>T1_avg_ms</t>
  </si>
  <si>
    <t>p</t>
  </si>
  <si>
    <t>Tp_avg_ms</t>
  </si>
  <si>
    <t xml:space="preserve">Reference size n0:</t>
  </si>
  <si>
    <t xml:space="preserve">C = T1(n0) / n0^3 (ms per unit n^3):</t>
  </si>
  <si>
    <t xml:space="preserve">Log-log slope (expected ~3):</t>
  </si>
  <si>
    <t>T1_measured_ms</t>
  </si>
  <si>
    <t>Tmodel_C_n3_ms</t>
  </si>
  <si>
    <t>log10(n)</t>
  </si>
  <si>
    <t>log10(T1)</t>
  </si>
  <si>
    <t>R(n)=T1(2n)/T1(n)</t>
  </si>
  <si>
    <t>T1(n)_ms</t>
  </si>
  <si>
    <t xml:space="preserve">Sp (speedup)</t>
  </si>
  <si>
    <t xml:space="preserve">Ep (efficiency)</t>
  </si>
  <si>
    <t>Ideal_Sp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</si>
</sst>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name val="Arial"/>
    </font>
    <font>
      <name val="Arial"/>
    </font>
    <font>
      <color indexed="4"/>
      <name val="Arial"/>
    </font>
    <font>
      <i/>
      <sz val="9.000000"/>
      <name val="Arial"/>
    </font>
    <font>
      <b/>
      <color indexed="4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2" borderId="0" numFmtId="0" xfId="0" applyFont="1" applyFill="1" quotePrefix="0" pivotButton="0"/>
    <xf fontId="2" fillId="0" borderId="0" numFmtId="0" xfId="0" applyFont="1" quotePrefix="0" pivotButton="0"/>
    <xf fontId="3" fillId="0" borderId="0" numFmtId="0" xfId="0" applyFont="1" quotePrefix="0" pivotButton="0"/>
    <xf fontId="4" fillId="0" borderId="0" numFmtId="0" xfId="0" applyFont="1" quotePrefix="0" pivotButton="0"/>
    <xf fontId="1" fillId="0" borderId="0" numFmtId="0" xfId="0" applyFont="1" quotePrefix="0" pivotButton="0"/>
    <xf fontId="5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T1(n) mesuré vs modèle theorique C*n^3</a:t>
            </a:r>
            <a:endParaRPr/>
          </a:p>
        </c:rich>
      </c:tx>
      <c:layout/>
      <c:overlay val="0"/>
    </c:title>
    <c:plotArea>
      <c:layout/>
      <c:scatterChart>
        <c:varyColors val="0"/>
        <c:ser>
          <c:idx val="0"/>
          <c:order val="0"/>
          <c:tx>
            <c:strRef>
              <c:f>'PartA_Model'!B4</c:f>
            </c:strRef>
          </c:tx>
          <c:spPr bwMode="auto">
            <a:ln>
              <a:prstDash val="solid"/>
            </a:ln>
          </c:spPr>
          <c:marker>
            <c:symbol val="circle"/>
            <c:size val="7"/>
            <c:spPr bwMode="auto">
              <a:ln>
                <a:prstDash val="solid"/>
              </a:ln>
            </c:spPr>
          </c:marker>
          <c:xVal>
            <c:numRef>
              <c:f>'PartA_Model'!$A$5:$A$10</c:f>
              <c:numCache>
                <c:formatCode>General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1200</c:v>
                </c:pt>
                <c:pt idx="5">
                  <c:v>1600</c:v>
                </c:pt>
              </c:numCache>
            </c:numRef>
          </c:xVal>
          <c:yVal>
            <c:numRef>
              <c:f>'PartA_Model'!$B$5:$B$10</c:f>
              <c:numCache>
                <c:formatCode>General</c:formatCode>
                <c:ptCount val="6"/>
                <c:pt idx="0">
                  <c:v>0.778924</c:v>
                </c:pt>
                <c:pt idx="1">
                  <c:v>8.10298</c:v>
                </c:pt>
                <c:pt idx="2">
                  <c:v>66.37366666666667</c:v>
                </c:pt>
                <c:pt idx="3">
                  <c:v>998.6923333333333</c:v>
                </c:pt>
                <c:pt idx="4">
                  <c:v>3772.3066666666664</c:v>
                </c:pt>
                <c:pt idx="5">
                  <c:v>22739.433333333334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'PartA_Model'!C4</c:f>
            </c:strRef>
          </c:tx>
          <c:spPr bwMode="auto">
            <a:ln>
              <a:prstDash val="solid"/>
            </a:ln>
          </c:spPr>
          <c:marker>
            <c:symbol val="diamond"/>
            <c:size val="7"/>
            <c:spPr bwMode="auto">
              <a:ln>
                <a:prstDash val="solid"/>
              </a:ln>
            </c:spPr>
          </c:marker>
          <c:xVal>
            <c:numRef>
              <c:f>'PartA_Model'!$A$5:$A$10</c:f>
              <c:numCache>
                <c:formatCode>General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1200</c:v>
                </c:pt>
                <c:pt idx="5">
                  <c:v>1600</c:v>
                </c:pt>
              </c:numCache>
            </c:numRef>
          </c:xVal>
          <c:yVal>
            <c:numRef>
              <c:f>'PartA_Model'!$C$5:$C$10</c:f>
              <c:numCache>
                <c:formatCode>General</c:formatCode>
                <c:ptCount val="6"/>
                <c:pt idx="0">
                  <c:v>1.9505709635416668</c:v>
                </c:pt>
                <c:pt idx="1">
                  <c:v>15.604567708333335</c:v>
                </c:pt>
                <c:pt idx="2">
                  <c:v>124.83654166666668</c:v>
                </c:pt>
                <c:pt idx="3">
                  <c:v>998.6923333333334</c:v>
                </c:pt>
                <c:pt idx="4">
                  <c:v>3370.5866250000004</c:v>
                </c:pt>
                <c:pt idx="5">
                  <c:v>7989.538666666667</c:v>
                </c:pt>
              </c:numCache>
            </c:numRef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n (taille de la matrice)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20"/>
        <c:crosses val="autoZero"/>
        <c:crossBetween val="between"/>
      </c:valAx>
      <c:valAx>
        <c:axId val="2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Temps (ms)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log10(T1) vs log10(n) — pente attendue ~3</a:t>
            </a:r>
            <a:endParaRPr/>
          </a:p>
        </c:rich>
      </c:tx>
      <c:layout/>
      <c:overlay val="0"/>
    </c:title>
    <c:plotArea>
      <c:layout/>
      <c:scatterChart>
        <c:varyColors val="0"/>
        <c:ser>
          <c:idx val="0"/>
          <c:order val="0"/>
          <c:tx>
            <c:v>log10(T1)</c:v>
          </c:tx>
          <c:spPr bwMode="auto">
            <a:ln>
              <a:prstDash val="solid"/>
            </a:ln>
          </c:spPr>
          <c:marker>
            <c:symbol val="circle"/>
            <c:size val="7"/>
            <c:spPr bwMode="auto">
              <a:ln>
                <a:prstDash val="solid"/>
              </a:ln>
            </c:spPr>
          </c:marker>
          <c:xVal>
            <c:numRef>
              <c:f>'PartA_Model'!$D$5:$D$10</c:f>
              <c:numCache>
                <c:formatCode>General</c:formatCode>
                <c:ptCount val="6"/>
                <c:pt idx="0">
                  <c:v>2</c:v>
                </c:pt>
                <c:pt idx="1">
                  <c:v>2.3010299956639813</c:v>
                </c:pt>
                <c:pt idx="2">
                  <c:v>2.6020599913279625</c:v>
                </c:pt>
                <c:pt idx="3">
                  <c:v>2.9030899869919438</c:v>
                </c:pt>
                <c:pt idx="4">
                  <c:v>3.0791812460476247</c:v>
                </c:pt>
                <c:pt idx="5">
                  <c:v>3.204119982655925</c:v>
                </c:pt>
              </c:numCache>
            </c:numRef>
          </c:xVal>
          <c:yVal>
            <c:numRef>
              <c:f>'PartA_Model'!$E$5:$E$10</c:f>
              <c:numCache>
                <c:formatCode>General</c:formatCode>
                <c:ptCount val="6"/>
                <c:pt idx="0">
                  <c:v>-0.10850491458776512</c:v>
                </c:pt>
                <c:pt idx="1">
                  <c:v>0.9086447669707494</c:v>
                </c:pt>
                <c:pt idx="2">
                  <c:v>1.8219958099445113</c:v>
                </c:pt>
                <c:pt idx="3">
                  <c:v>2.9994317159384023</c:v>
                </c:pt>
                <c:pt idx="4">
                  <c:v>3.5766069911245273</c:v>
                </c:pt>
                <c:pt idx="5">
                  <c:v>4.3567796378683035</c:v>
                </c:pt>
              </c:numCache>
            </c:numRef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log10(n)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20"/>
        <c:crosses val="autoZero"/>
        <c:crossBetween val="between"/>
      </c:valAx>
      <c:valAx>
        <c:axId val="2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log10(T1 en ms)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Temps d'execution Tp vs p</a:t>
            </a:r>
            <a:endParaRPr/>
          </a:p>
        </c:rich>
      </c:tx>
      <c:layout/>
      <c:overlay val="0"/>
    </c:title>
    <c:plotArea>
      <c:layout/>
      <c:scatterChart>
        <c:varyColors val="0"/>
        <c:ser>
          <c:idx val="0"/>
          <c:order val="0"/>
          <c:tx>
            <c:v>n=200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'PartB_Scaling'!$C$2:$C$5</c:f>
              <c:numCache>
                <c:formatCode>General</c:formatCode>
                <c:ptCount val="4"/>
                <c:pt idx="0">
                  <c:v>8.77738</c:v>
                </c:pt>
                <c:pt idx="1">
                  <c:v>7.40707</c:v>
                </c:pt>
                <c:pt idx="2">
                  <c:v>7.168346666666666</c:v>
                </c:pt>
                <c:pt idx="3">
                  <c:v>7.955103333333334</c:v>
                </c:pt>
              </c:numCache>
            </c:numRef>
          </c:yVal>
          <c:smooth val="0"/>
        </c:ser>
        <c:ser>
          <c:idx val="1"/>
          <c:order val="1"/>
          <c:tx>
            <c:v>n=400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'PartB_Scaling'!$C$6:$C$9</c:f>
              <c:numCache>
                <c:formatCode>General</c:formatCode>
                <c:ptCount val="4"/>
                <c:pt idx="0">
                  <c:v>73.34983333333334</c:v>
                </c:pt>
                <c:pt idx="1">
                  <c:v>72.6163</c:v>
                </c:pt>
                <c:pt idx="2">
                  <c:v>74.39786666666667</c:v>
                </c:pt>
                <c:pt idx="3">
                  <c:v>75.4499</c:v>
                </c:pt>
              </c:numCache>
            </c:numRef>
          </c:yVal>
          <c:smooth val="0"/>
        </c:ser>
        <c:ser>
          <c:idx val="2"/>
          <c:order val="2"/>
          <c:tx>
            <c:v>n=800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'PartB_Scaling'!$B$10:$B$13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'PartB_Scaling'!$C$10:$C$13</c:f>
              <c:numCache>
                <c:formatCode>General</c:formatCode>
                <c:ptCount val="4"/>
                <c:pt idx="0">
                  <c:v>777.3100000000001</c:v>
                </c:pt>
                <c:pt idx="1">
                  <c:v>834.7966666666666</c:v>
                </c:pt>
                <c:pt idx="2">
                  <c:v>777.9046666666667</c:v>
                </c:pt>
                <c:pt idx="3">
                  <c:v>727.4876666666667</c:v>
                </c:pt>
              </c:numCache>
            </c:numRef>
          </c:yVal>
          <c:smooth val="0"/>
        </c:ser>
        <c:ser>
          <c:idx val="3"/>
          <c:order val="3"/>
          <c:tx>
            <c:v>n=1200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'PartB_Scaling'!$B$14:$B$17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'PartB_Scaling'!$C$14:$C$17</c:f>
              <c:numCache>
                <c:formatCode>General</c:formatCode>
                <c:ptCount val="4"/>
                <c:pt idx="0">
                  <c:v>3548.6066666666666</c:v>
                </c:pt>
                <c:pt idx="1">
                  <c:v>4350.266666666666</c:v>
                </c:pt>
                <c:pt idx="2">
                  <c:v>4279.139999999999</c:v>
                </c:pt>
                <c:pt idx="3">
                  <c:v>4216.126666666667</c:v>
                </c:pt>
              </c:numCache>
            </c:numRef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p (nombre de processus)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20"/>
        <c:crosses val="autoZero"/>
        <c:crossBetween val="between"/>
      </c:valAx>
      <c:valAx>
        <c:axId val="2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Temps (ms)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7472891" y="63499"/>
      <a:ext cx="7200000" cy="3600000"/>
    </a:xfrm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Speedup Sp vs p (avec ligne ideale)</a:t>
            </a:r>
            <a:endParaRPr/>
          </a:p>
        </c:rich>
      </c:tx>
      <c:layout/>
      <c:overlay val="0"/>
    </c:title>
    <c:plotArea>
      <c:layout/>
      <c:scatterChart>
        <c:varyColors val="0"/>
        <c:ser>
          <c:idx val="0"/>
          <c:order val="0"/>
          <c:tx>
            <c:v>n=200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'PartB_Scaling'!$E$2:$E$5</c:f>
              <c:numCache>
                <c:formatCode>General</c:formatCode>
                <c:ptCount val="4"/>
                <c:pt idx="0">
                  <c:v>0.92316613841488</c:v>
                </c:pt>
                <c:pt idx="1">
                  <c:v>1.0939521295194996</c:v>
                </c:pt>
                <c:pt idx="2">
                  <c:v>1.1303833891962072</c:v>
                </c:pt>
                <c:pt idx="3">
                  <c:v>1.0185889058218813</c:v>
                </c:pt>
              </c:numCache>
            </c:numRef>
          </c:yVal>
          <c:smooth val="0"/>
        </c:ser>
        <c:ser>
          <c:idx val="1"/>
          <c:order val="1"/>
          <c:tx>
            <c:v>n=400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'PartB_Scaling'!$E$6:$E$9</c:f>
              <c:numCache>
                <c:formatCode>General</c:formatCode>
                <c:ptCount val="4"/>
                <c:pt idx="0">
                  <c:v>0.9048918538783318</c:v>
                </c:pt>
                <c:pt idx="1">
                  <c:v>0.9140326161848878</c:v>
                </c:pt>
                <c:pt idx="2">
                  <c:v>0.8921447568389057</c:v>
                </c:pt>
                <c:pt idx="3">
                  <c:v>0.8797051641773769</c:v>
                </c:pt>
              </c:numCache>
            </c:numRef>
          </c:yVal>
          <c:smooth val="0"/>
        </c:ser>
        <c:ser>
          <c:idx val="2"/>
          <c:order val="2"/>
          <c:tx>
            <c:v>n=800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'PartB_Scaling'!$B$10:$B$13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'PartB_Scaling'!$E$10:$E$13</c:f>
              <c:numCache>
                <c:formatCode>General</c:formatCode>
                <c:ptCount val="4"/>
                <c:pt idx="0">
                  <c:v>1.284805718868062</c:v>
                </c:pt>
                <c:pt idx="1">
                  <c:v>1.19633004444196</c:v>
                </c:pt>
                <c:pt idx="2">
                  <c:v>1.2838235533574378</c:v>
                </c:pt>
                <c:pt idx="3">
                  <c:v>1.3727962398446159</c:v>
                </c:pt>
              </c:numCache>
            </c:numRef>
          </c:yVal>
          <c:smooth val="0"/>
        </c:ser>
        <c:ser>
          <c:idx val="3"/>
          <c:order val="3"/>
          <c:tx>
            <c:v>n=1200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'PartB_Scaling'!$B$14:$B$17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'PartB_Scaling'!$E$14:$E$17</c:f>
              <c:numCache>
                <c:formatCode>General</c:formatCode>
                <c:ptCount val="4"/>
                <c:pt idx="0">
                  <c:v>1.0630388265065538</c:v>
                </c:pt>
                <c:pt idx="1">
                  <c:v>0.8671437766267202</c:v>
                </c:pt>
                <c:pt idx="2">
                  <c:v>0.8815571976300535</c:v>
                </c:pt>
                <c:pt idx="3">
                  <c:v>0.894732764195889</c:v>
                </c:pt>
              </c:numCache>
            </c:numRef>
          </c:yVal>
          <c:smooth val="0"/>
        </c:ser>
        <c:ser>
          <c:idx val="4"/>
          <c:order val="4"/>
          <c:tx>
            <c:v>Ideal (Sp=p)</c:v>
          </c:tx>
          <c:spPr bwMode="auto">
            <a:ln>
              <a:prstDash val="dash"/>
            </a:ln>
          </c:spPr>
          <c:marker>
            <c:symbol val="triang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'PartB_Scaling'!$G$2:$G$5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p (nombre de processus)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20"/>
        <c:crosses val="autoZero"/>
        <c:crossBetween val="between"/>
      </c:valAx>
      <c:valAx>
        <c:axId val="2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Speedup Sp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7472891" y="3832224"/>
      <a:ext cx="7200000" cy="3600000"/>
    </a:xfrm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Efficacite Ep vs p</a:t>
            </a:r>
            <a:endParaRPr/>
          </a:p>
        </c:rich>
      </c:tx>
      <c:layout/>
      <c:overlay val="0"/>
    </c:title>
    <c:plotArea>
      <c:layout/>
      <c:scatterChart>
        <c:varyColors val="0"/>
        <c:ser>
          <c:idx val="0"/>
          <c:order val="0"/>
          <c:tx>
            <c:v>n=200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'PartB_Scaling'!$F$2:$F$5</c:f>
              <c:numCache>
                <c:formatCode>General</c:formatCode>
                <c:ptCount val="4"/>
                <c:pt idx="0">
                  <c:v>0.92316613841488</c:v>
                </c:pt>
                <c:pt idx="1">
                  <c:v>0.5469760647597498</c:v>
                </c:pt>
                <c:pt idx="2">
                  <c:v>0.2825958472990518</c:v>
                </c:pt>
                <c:pt idx="3">
                  <c:v>0.12732361322773517</c:v>
                </c:pt>
              </c:numCache>
            </c:numRef>
          </c:yVal>
          <c:smooth val="0"/>
        </c:ser>
        <c:ser>
          <c:idx val="1"/>
          <c:order val="1"/>
          <c:tx>
            <c:v>n=400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'PartB_Scaling'!$B$6:$B$9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'PartB_Scaling'!$F$6:$F$9</c:f>
              <c:numCache>
                <c:formatCode>General</c:formatCode>
                <c:ptCount val="4"/>
                <c:pt idx="0">
                  <c:v>0.9048918538783318</c:v>
                </c:pt>
                <c:pt idx="1">
                  <c:v>0.4570163080924439</c:v>
                </c:pt>
                <c:pt idx="2">
                  <c:v>0.22303618920972643</c:v>
                </c:pt>
                <c:pt idx="3">
                  <c:v>0.10996314552217211</c:v>
                </c:pt>
              </c:numCache>
            </c:numRef>
          </c:yVal>
          <c:smooth val="0"/>
        </c:ser>
        <c:ser>
          <c:idx val="2"/>
          <c:order val="2"/>
          <c:tx>
            <c:v>n=800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'PartB_Scaling'!$B$10:$B$13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'PartB_Scaling'!$F$10:$F$13</c:f>
              <c:numCache>
                <c:formatCode>General</c:formatCode>
                <c:ptCount val="4"/>
                <c:pt idx="0">
                  <c:v>1.284805718868062</c:v>
                </c:pt>
                <c:pt idx="1">
                  <c:v>0.59816502222098</c:v>
                </c:pt>
                <c:pt idx="2">
                  <c:v>0.32095588833935945</c:v>
                </c:pt>
                <c:pt idx="3">
                  <c:v>0.17159952998057698</c:v>
                </c:pt>
              </c:numCache>
            </c:numRef>
          </c:yVal>
          <c:smooth val="0"/>
        </c:ser>
        <c:ser>
          <c:idx val="3"/>
          <c:order val="3"/>
          <c:tx>
            <c:v>n=1200</c:v>
          </c:tx>
          <c:spPr bwMode="auto">
            <a:ln>
              <a:prstDash val="solid"/>
            </a:ln>
          </c:spPr>
          <c:marker>
            <c:symbol val="circle"/>
            <c:size val="6"/>
            <c:spPr bwMode="auto">
              <a:ln>
                <a:prstDash val="solid"/>
              </a:ln>
            </c:spPr>
          </c:marker>
          <c:xVal>
            <c:numRef>
              <c:f>'PartB_Scaling'!$B$14:$B$17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'PartB_Scaling'!$F$14:$F$17</c:f>
              <c:numCache>
                <c:formatCode>General</c:formatCode>
                <c:ptCount val="4"/>
                <c:pt idx="0">
                  <c:v>1.0630388265065538</c:v>
                </c:pt>
                <c:pt idx="1">
                  <c:v>0.4335718883133601</c:v>
                </c:pt>
                <c:pt idx="2">
                  <c:v>0.22038929940751337</c:v>
                </c:pt>
                <c:pt idx="3">
                  <c:v>0.11184159552448612</c:v>
                </c:pt>
              </c:numCache>
            </c:numRef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p (nombre de processus)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20"/>
        <c:crosses val="autoZero"/>
        <c:crossBetween val="between"/>
      </c:valAx>
      <c:valAx>
        <c:axId val="2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Efficacite Ep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33866" y="3441699"/>
      <a:ext cx="7200000" cy="3600000"/>
    </a:xfrm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Relationship Id="rId2" Type="http://schemas.openxmlformats.org/officeDocument/2006/relationships/chart" Target="../charts/chart4.xml" /><Relationship Id="rId3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0</xdr:colOff>
      <xdr:row>3</xdr:row>
      <xdr:rowOff>0</xdr:rowOff>
    </xdr:from>
    <xdr:ext cx="7200000" cy="360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23</xdr:row>
      <xdr:rowOff>0</xdr:rowOff>
    </xdr:from>
    <xdr:ext cx="7200000" cy="3600000"/>
    <xdr:graphicFrame>
      <xdr:nvGraphicFramePr>
        <xdr:cNvPr id="2" name="Chart 2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314324</xdr:colOff>
      <xdr:row>0</xdr:row>
      <xdr:rowOff>63499</xdr:rowOff>
    </xdr:from>
    <xdr:ext cx="7200000" cy="360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 rot="0">
        <a:off x="7472891" y="63499"/>
        <a:ext cx="7200000" cy="360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314324</xdr:colOff>
      <xdr:row>21</xdr:row>
      <xdr:rowOff>98424</xdr:rowOff>
    </xdr:from>
    <xdr:ext cx="7200000" cy="3600000"/>
    <xdr:graphicFrame>
      <xdr:nvGraphicFramePr>
        <xdr:cNvPr id="2" name="Chart 2"/>
        <xdr:cNvGraphicFramePr>
          <a:graphicFrameLocks xmlns:a="http://schemas.openxmlformats.org/drawingml/2006/main"/>
        </xdr:cNvGraphicFramePr>
      </xdr:nvGraphicFramePr>
      <xdr:xfrm rot="0">
        <a:off x="7472891" y="3832224"/>
        <a:ext cx="7200000" cy="360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33866</xdr:colOff>
      <xdr:row>19</xdr:row>
      <xdr:rowOff>63499</xdr:rowOff>
    </xdr:from>
    <xdr:ext cx="7200000" cy="3600000"/>
    <xdr:graphicFrame>
      <xdr:nvGraphicFramePr>
        <xdr:cNvPr id="3" name="Chart 3"/>
        <xdr:cNvGraphicFramePr>
          <a:graphicFrameLocks xmlns:a="http://schemas.openxmlformats.org/drawingml/2006/main"/>
        </xdr:cNvGraphicFramePr>
      </xdr:nvGraphicFramePr>
      <xdr:xfrm rot="0">
        <a:off x="33866" y="3441699"/>
        <a:ext cx="7200000" cy="360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0"/>
    <col customWidth="1" min="2" max="5" width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100</v>
      </c>
      <c r="B2" s="3">
        <v>0.82064999999999999</v>
      </c>
      <c r="C2" s="3">
        <v>0.70257099999999995</v>
      </c>
      <c r="D2" s="3">
        <v>0.81355100000000002</v>
      </c>
      <c r="E2" s="2">
        <f t="shared" ref="E2:E7" si="0">AVERAGE(B2:D2)</f>
        <v>0.77892399999999995</v>
      </c>
    </row>
    <row r="3">
      <c r="A3" s="2">
        <v>200</v>
      </c>
      <c r="B3" s="3">
        <v>7.5859100000000002</v>
      </c>
      <c r="C3" s="3">
        <v>8.5354299999999999</v>
      </c>
      <c r="D3" s="3">
        <v>8.1875999999999998</v>
      </c>
      <c r="E3" s="2">
        <f t="shared" si="0"/>
        <v>8.1029800000000005</v>
      </c>
    </row>
    <row r="4">
      <c r="A4" s="2">
        <v>400</v>
      </c>
      <c r="B4" s="3">
        <v>62.914099999999998</v>
      </c>
      <c r="C4" s="3">
        <v>63.376600000000003</v>
      </c>
      <c r="D4" s="3">
        <v>72.830299999999994</v>
      </c>
      <c r="E4" s="2">
        <f t="shared" si="0"/>
        <v>66.373666666666665</v>
      </c>
    </row>
    <row r="5">
      <c r="A5" s="2">
        <v>800</v>
      </c>
      <c r="B5" s="3">
        <v>907.15599999999995</v>
      </c>
      <c r="C5" s="3">
        <v>1277.6800000000001</v>
      </c>
      <c r="D5" s="3">
        <v>811.24099999999999</v>
      </c>
      <c r="E5" s="2">
        <f t="shared" si="0"/>
        <v>998.69233333333329</v>
      </c>
    </row>
    <row r="6">
      <c r="A6" s="2">
        <v>1200</v>
      </c>
      <c r="B6" s="3">
        <v>3811.4699999999998</v>
      </c>
      <c r="C6" s="3">
        <v>3763.77</v>
      </c>
      <c r="D6" s="3">
        <v>3741.6799999999998</v>
      </c>
      <c r="E6" s="2">
        <f t="shared" si="0"/>
        <v>3772.3066666666664</v>
      </c>
    </row>
    <row r="7">
      <c r="A7" s="2">
        <v>1600</v>
      </c>
      <c r="B7" s="3">
        <v>22814.900000000001</v>
      </c>
      <c r="C7" s="3">
        <v>22945.599999999999</v>
      </c>
      <c r="D7" s="3">
        <v>22457.799999999999</v>
      </c>
      <c r="E7" s="2">
        <f t="shared" si="0"/>
        <v>22739.433333333334</v>
      </c>
    </row>
    <row r="8">
      <c r="A8" s="2"/>
      <c r="B8" s="2"/>
      <c r="C8" s="2"/>
      <c r="D8" s="2"/>
      <c r="E8" s="2"/>
    </row>
    <row r="9">
      <c r="A9" s="4"/>
      <c r="B9" s="2"/>
      <c r="C9" s="2"/>
      <c r="D9" s="2"/>
      <c r="E9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6" width="12"/>
  </cols>
  <sheetData>
    <row r="1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6</v>
      </c>
    </row>
    <row r="2">
      <c r="A2" s="2">
        <v>200</v>
      </c>
      <c r="B2" s="2">
        <v>1</v>
      </c>
      <c r="C2" s="3">
        <v>6.9259300000000001</v>
      </c>
      <c r="D2" s="3">
        <v>8.0932099999999991</v>
      </c>
      <c r="E2" s="3">
        <v>11.313000000000001</v>
      </c>
      <c r="F2" s="2">
        <f t="shared" ref="F2:F9" si="1">AVERAGE(C2:E2)</f>
        <v>8.7773800000000008</v>
      </c>
    </row>
    <row r="3">
      <c r="A3" s="2">
        <v>200</v>
      </c>
      <c r="B3" s="2">
        <v>2</v>
      </c>
      <c r="C3" s="3">
        <v>8.9320599999999999</v>
      </c>
      <c r="D3" s="3">
        <v>6.6135799999999998</v>
      </c>
      <c r="E3" s="3">
        <v>6.6755699999999996</v>
      </c>
      <c r="F3" s="2">
        <f t="shared" si="1"/>
        <v>7.40707</v>
      </c>
    </row>
    <row r="4">
      <c r="A4" s="2">
        <v>200</v>
      </c>
      <c r="B4" s="2">
        <v>4</v>
      </c>
      <c r="C4" s="3">
        <v>7.0663999999999998</v>
      </c>
      <c r="D4" s="3">
        <v>6.9944100000000002</v>
      </c>
      <c r="E4" s="3">
        <v>7.4442300000000001</v>
      </c>
      <c r="F4" s="2">
        <f t="shared" si="1"/>
        <v>7.1683466666666664</v>
      </c>
    </row>
    <row r="5">
      <c r="A5" s="2">
        <v>200</v>
      </c>
      <c r="B5" s="2">
        <v>8</v>
      </c>
      <c r="C5" s="3">
        <v>7.9341400000000002</v>
      </c>
      <c r="D5" s="3">
        <v>8.1310000000000002</v>
      </c>
      <c r="E5" s="3">
        <v>7.8001699999999996</v>
      </c>
      <c r="F5" s="2">
        <f t="shared" si="1"/>
        <v>7.9551033333333336</v>
      </c>
    </row>
    <row r="6">
      <c r="A6" s="2">
        <v>400</v>
      </c>
      <c r="B6" s="2">
        <v>1</v>
      </c>
      <c r="C6" s="3">
        <v>62.028799999999997</v>
      </c>
      <c r="D6" s="3">
        <v>77.380300000000005</v>
      </c>
      <c r="E6" s="3">
        <v>80.6404</v>
      </c>
      <c r="F6" s="2">
        <f t="shared" si="1"/>
        <v>73.349833333333336</v>
      </c>
    </row>
    <row r="7">
      <c r="A7" s="2">
        <v>400</v>
      </c>
      <c r="B7" s="2">
        <v>2</v>
      </c>
      <c r="C7" s="3">
        <v>68.5077</v>
      </c>
      <c r="D7" s="3">
        <v>77.171800000000005</v>
      </c>
      <c r="E7" s="3">
        <v>72.169399999999996</v>
      </c>
      <c r="F7" s="2">
        <f t="shared" si="1"/>
        <v>72.616299999999995</v>
      </c>
    </row>
    <row r="8">
      <c r="A8" s="2">
        <v>400</v>
      </c>
      <c r="B8" s="2">
        <v>4</v>
      </c>
      <c r="C8" s="3">
        <v>81.628</v>
      </c>
      <c r="D8" s="3">
        <v>71.249600000000001</v>
      </c>
      <c r="E8" s="3">
        <v>70.316000000000003</v>
      </c>
      <c r="F8" s="2">
        <f t="shared" si="1"/>
        <v>74.397866666666673</v>
      </c>
    </row>
    <row r="9">
      <c r="A9" s="2">
        <v>400</v>
      </c>
      <c r="B9" s="2">
        <v>8</v>
      </c>
      <c r="C9" s="3">
        <v>73.848100000000002</v>
      </c>
      <c r="D9" s="3">
        <v>81.647199999999998</v>
      </c>
      <c r="E9" s="3">
        <v>70.854399999999998</v>
      </c>
      <c r="F9" s="2">
        <f t="shared" si="1"/>
        <v>75.4499</v>
      </c>
    </row>
    <row r="10">
      <c r="A10" s="2">
        <v>800</v>
      </c>
      <c r="B10" s="2">
        <v>1</v>
      </c>
      <c r="C10" s="3">
        <v>729.38400000000001</v>
      </c>
      <c r="D10" s="3">
        <v>773.56500000000005</v>
      </c>
      <c r="E10" s="3">
        <v>828.98099999999999</v>
      </c>
      <c r="F10" s="2">
        <f t="shared" ref="F10:F17" si="2">AVERAGE(C10:E10)</f>
        <v>777.31000000000006</v>
      </c>
    </row>
    <row r="11">
      <c r="A11" s="2">
        <v>800</v>
      </c>
      <c r="B11" s="2">
        <v>2</v>
      </c>
      <c r="C11" s="3">
        <v>813.36500000000001</v>
      </c>
      <c r="D11" s="3">
        <v>905.14099999999996</v>
      </c>
      <c r="E11" s="3">
        <v>785.88400000000001</v>
      </c>
      <c r="F11" s="2">
        <f t="shared" si="2"/>
        <v>834.79666666666662</v>
      </c>
    </row>
    <row r="12">
      <c r="A12" s="2">
        <v>800</v>
      </c>
      <c r="B12" s="2">
        <v>4</v>
      </c>
      <c r="C12" s="3">
        <v>771.96199999999999</v>
      </c>
      <c r="D12" s="3">
        <v>776.86699999999996</v>
      </c>
      <c r="E12" s="3">
        <v>784.88499999999999</v>
      </c>
      <c r="F12" s="2">
        <f t="shared" si="2"/>
        <v>777.90466666666669</v>
      </c>
    </row>
    <row r="13">
      <c r="A13" s="2">
        <v>800</v>
      </c>
      <c r="B13" s="2">
        <v>8</v>
      </c>
      <c r="C13" s="3">
        <v>761.25400000000002</v>
      </c>
      <c r="D13" s="3">
        <v>693.00099999999998</v>
      </c>
      <c r="E13" s="3">
        <v>728.20799999999997</v>
      </c>
      <c r="F13" s="2">
        <f t="shared" si="2"/>
        <v>727.48766666666666</v>
      </c>
    </row>
    <row r="14">
      <c r="A14" s="2">
        <v>1200</v>
      </c>
      <c r="B14" s="2">
        <v>1</v>
      </c>
      <c r="C14" s="3">
        <v>3499.1100000000001</v>
      </c>
      <c r="D14" s="3">
        <v>3616.98</v>
      </c>
      <c r="E14" s="3">
        <v>3529.73</v>
      </c>
      <c r="F14" s="2">
        <f t="shared" si="2"/>
        <v>3548.6066666666666</v>
      </c>
    </row>
    <row r="15">
      <c r="A15" s="2">
        <v>1200</v>
      </c>
      <c r="B15" s="2">
        <v>2</v>
      </c>
      <c r="C15" s="3">
        <v>3714.3099999999999</v>
      </c>
      <c r="D15" s="3">
        <v>4073.73</v>
      </c>
      <c r="E15" s="3">
        <v>5262.7600000000002</v>
      </c>
      <c r="F15" s="2">
        <f t="shared" si="2"/>
        <v>4350.2666666666664</v>
      </c>
    </row>
    <row r="16">
      <c r="A16" s="2">
        <v>1200</v>
      </c>
      <c r="B16" s="2">
        <v>4</v>
      </c>
      <c r="C16" s="3">
        <v>4046.2199999999998</v>
      </c>
      <c r="D16" s="3">
        <v>4085.8000000000002</v>
      </c>
      <c r="E16" s="3">
        <v>4705.3999999999996</v>
      </c>
      <c r="F16" s="2">
        <f t="shared" si="2"/>
        <v>4279.1399999999994</v>
      </c>
    </row>
    <row r="17">
      <c r="A17" s="2">
        <v>1200</v>
      </c>
      <c r="B17" s="2">
        <v>8</v>
      </c>
      <c r="C17" s="3">
        <v>4952.5900000000001</v>
      </c>
      <c r="D17" s="3">
        <v>3865.2800000000002</v>
      </c>
      <c r="E17" s="3">
        <v>3830.5100000000002</v>
      </c>
      <c r="F17" s="2">
        <f t="shared" si="2"/>
        <v>4216.126666666667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width="35.3125"/>
    <col customWidth="1" min="2" max="6" width="16"/>
  </cols>
  <sheetData>
    <row r="1">
      <c r="A1" s="5" t="s">
        <v>7</v>
      </c>
      <c r="B1" s="6">
        <v>800</v>
      </c>
      <c r="C1" s="2"/>
      <c r="D1" s="2"/>
      <c r="E1" s="2"/>
      <c r="F1" s="2"/>
    </row>
    <row r="2">
      <c r="A2" s="5" t="s">
        <v>8</v>
      </c>
      <c r="B2" s="2">
        <f>INDEX(Sequential!$E$2:$E$7,MATCH(B1,Sequential!$A$2:$A$7,0))/(B1^3)</f>
        <v>1.9505709635416668e-06</v>
      </c>
      <c r="C2" s="2"/>
      <c r="D2" s="5" t="s">
        <v>9</v>
      </c>
      <c r="E2" s="2">
        <f>SLOPE(E5:E10,D5:D10)</f>
        <v>3.6010229356547847</v>
      </c>
      <c r="F2" s="2"/>
    </row>
    <row r="3">
      <c r="A3" s="2"/>
      <c r="B3" s="2"/>
      <c r="C3" s="2"/>
      <c r="D3" s="2"/>
      <c r="E3" s="2"/>
      <c r="F3" s="2"/>
    </row>
    <row r="4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>
      <c r="A5" s="2">
        <v>100</v>
      </c>
      <c r="B5" s="2">
        <f>INDEX(Sequential!$E$2:$E$7,MATCH(A5,Sequential!$A$2:$A$7,0))</f>
        <v>0.77892399999999995</v>
      </c>
      <c r="C5" s="2">
        <f t="shared" ref="C5:C9" si="3">$B$2*A5^3</f>
        <v>1.9505709635416668</v>
      </c>
      <c r="D5" s="2">
        <f t="shared" ref="D5:D9" si="4">LOG10(A5)</f>
        <v>2</v>
      </c>
      <c r="E5" s="2">
        <f t="shared" ref="E5:E9" si="5">LOG10(B5)</f>
        <v>-0.10850491458776512</v>
      </c>
      <c r="F5" s="2">
        <f>IFERROR(INDEX(Sequential!$E$2:$E$7,MATCH(2*A5,Sequential!$A$2:$A$7,0))/B5,"")</f>
        <v>10.402786407916564</v>
      </c>
    </row>
    <row r="6">
      <c r="A6" s="2">
        <v>200</v>
      </c>
      <c r="B6" s="2">
        <f>INDEX(Sequential!$E$2:$E$7,MATCH(A6,Sequential!$A$2:$A$7,0))</f>
        <v>8.1029800000000005</v>
      </c>
      <c r="C6" s="2">
        <f t="shared" si="3"/>
        <v>15.604567708333335</v>
      </c>
      <c r="D6" s="2">
        <f t="shared" si="4"/>
        <v>2.3010299956639813</v>
      </c>
      <c r="E6" s="2">
        <f t="shared" si="5"/>
        <v>0.90864476697074936</v>
      </c>
      <c r="F6" s="2">
        <f>IFERROR(INDEX(Sequential!$E$2:$E$7,MATCH(2*A6,Sequential!$A$2:$A$7,0))/B6,"")</f>
        <v>8.1912662584217983</v>
      </c>
    </row>
    <row r="7">
      <c r="A7" s="2">
        <v>400</v>
      </c>
      <c r="B7" s="2">
        <f>INDEX(Sequential!$E$2:$E$7,MATCH(A7,Sequential!$A$2:$A$7,0))</f>
        <v>66.373666666666665</v>
      </c>
      <c r="C7" s="2">
        <f t="shared" si="3"/>
        <v>124.83654166666668</v>
      </c>
      <c r="D7" s="2">
        <f t="shared" si="4"/>
        <v>2.6020599913279625</v>
      </c>
      <c r="E7" s="2">
        <f t="shared" si="5"/>
        <v>1.8219958099445113</v>
      </c>
      <c r="F7" s="2">
        <f>IFERROR(INDEX(Sequential!$E$2:$E$7,MATCH(2*A7,Sequential!$A$2:$A$7,0))/B7,"")</f>
        <v>15.04651443092391</v>
      </c>
    </row>
    <row r="8">
      <c r="A8" s="2">
        <v>800</v>
      </c>
      <c r="B8" s="2">
        <f>INDEX(Sequential!$E$2:$E$7,MATCH(A8,Sequential!$A$2:$A$7,0))</f>
        <v>998.69233333333329</v>
      </c>
      <c r="C8" s="2">
        <f t="shared" si="3"/>
        <v>998.69233333333341</v>
      </c>
      <c r="D8" s="2">
        <f t="shared" si="4"/>
        <v>2.9030899869919438</v>
      </c>
      <c r="E8" s="2">
        <f t="shared" si="5"/>
        <v>2.9994317159384023</v>
      </c>
      <c r="F8" s="2">
        <f>IFERROR(INDEX(Sequential!$E$2:$E$7,MATCH(2*A8,Sequential!$A$2:$A$7,0))/B8,"")</f>
        <v>22.769207867488053</v>
      </c>
    </row>
    <row r="9">
      <c r="A9" s="2">
        <v>1200</v>
      </c>
      <c r="B9" s="2">
        <f>INDEX(Sequential!$E$2:$E$7,MATCH(A9,Sequential!$A$2:$A$7,0))</f>
        <v>3772.3066666666664</v>
      </c>
      <c r="C9" s="2">
        <f t="shared" si="3"/>
        <v>3370.5866250000004</v>
      </c>
      <c r="D9" s="2">
        <f t="shared" si="4"/>
        <v>3.0791812460476247</v>
      </c>
      <c r="E9" s="2">
        <f t="shared" si="5"/>
        <v>3.5766069911245273</v>
      </c>
      <c r="F9" s="2" t="str">
        <f>IFERROR(INDEX(Sequential!$E$2:$E$7,MATCH(2*A9,Sequential!$A$2:$A$7,0))/B9,"")</f>
        <v/>
      </c>
    </row>
    <row r="10">
      <c r="A10" s="2">
        <v>1600</v>
      </c>
      <c r="B10" s="2">
        <f>INDEX(Sequential!$E$2:$E$7,MATCH(A10,Sequential!$A$2:$A$7,0))</f>
        <v>22739.433333333334</v>
      </c>
      <c r="C10" s="2">
        <f>$B$2*A10^3</f>
        <v>7989.5386666666673</v>
      </c>
      <c r="D10" s="2">
        <f>LOG10(A10)</f>
        <v>3.204119982655925</v>
      </c>
      <c r="E10" s="2">
        <f>LOG10(B10)</f>
        <v>4.3567796378683035</v>
      </c>
      <c r="F10" s="2" t="str">
        <f>IFERROR(INDEX(Sequential!$E$2:$E$7,MATCH(2*A10,Sequential!$A$2:$A$7,0))/B10,"")</f>
        <v/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7" width="14"/>
  </cols>
  <sheetData>
    <row r="1">
      <c r="A1" s="1" t="s">
        <v>0</v>
      </c>
      <c r="B1" s="1" t="s">
        <v>5</v>
      </c>
      <c r="C1" s="1" t="s">
        <v>6</v>
      </c>
      <c r="D1" s="1" t="s">
        <v>15</v>
      </c>
      <c r="E1" s="1" t="s">
        <v>16</v>
      </c>
      <c r="F1" s="1" t="s">
        <v>17</v>
      </c>
      <c r="G1" s="1" t="s">
        <v>18</v>
      </c>
    </row>
    <row r="2">
      <c r="A2" s="2">
        <v>200</v>
      </c>
      <c r="B2" s="2">
        <v>1</v>
      </c>
      <c r="C2" s="2">
        <f>SUMPRODUCT((Parallel!$A$2:$A$17=A2)*(Parallel!$B$2:$B$17=B2)*Parallel!$F$2:$F$17)</f>
        <v>8.7773800000000008</v>
      </c>
      <c r="D2" s="2">
        <f>INDEX(Sequential!$E$2:$E$7,MATCH(A2,Sequential!$A$2:$A$7,0))</f>
        <v>8.1029800000000005</v>
      </c>
      <c r="E2" s="2">
        <f t="shared" ref="E2:E9" si="6">D2/C2</f>
        <v>0.92316613841488004</v>
      </c>
      <c r="F2" s="2">
        <f t="shared" ref="F2:F9" si="7">E2/B2</f>
        <v>0.92316613841488004</v>
      </c>
      <c r="G2" s="2">
        <f t="shared" ref="G2:G9" si="8">B2</f>
        <v>1</v>
      </c>
    </row>
    <row r="3">
      <c r="A3" s="2">
        <v>200</v>
      </c>
      <c r="B3" s="2">
        <v>2</v>
      </c>
      <c r="C3" s="2">
        <f>SUMPRODUCT((Parallel!$A$2:$A$17=A3)*(Parallel!$B$2:$B$17=B3)*Parallel!$F$2:$F$17)</f>
        <v>7.40707</v>
      </c>
      <c r="D3" s="2">
        <f>INDEX(Sequential!$E$2:$E$7,MATCH(A3,Sequential!$A$2:$A$7,0))</f>
        <v>8.1029800000000005</v>
      </c>
      <c r="E3" s="2">
        <f t="shared" si="6"/>
        <v>1.0939521295194996</v>
      </c>
      <c r="F3" s="2">
        <f t="shared" si="7"/>
        <v>0.5469760647597498</v>
      </c>
      <c r="G3" s="2">
        <f t="shared" si="8"/>
        <v>2</v>
      </c>
    </row>
    <row r="4">
      <c r="A4" s="2">
        <v>200</v>
      </c>
      <c r="B4" s="2">
        <v>4</v>
      </c>
      <c r="C4" s="2">
        <f>SUMPRODUCT((Parallel!$A$2:$A$17=A4)*(Parallel!$B$2:$B$17=B4)*Parallel!$F$2:$F$17)</f>
        <v>7.1683466666666664</v>
      </c>
      <c r="D4" s="2">
        <f>INDEX(Sequential!$E$2:$E$7,MATCH(A4,Sequential!$A$2:$A$7,0))</f>
        <v>8.1029800000000005</v>
      </c>
      <c r="E4" s="2">
        <f t="shared" si="6"/>
        <v>1.1303833891962072</v>
      </c>
      <c r="F4" s="2">
        <f t="shared" si="7"/>
        <v>0.28259584729905179</v>
      </c>
      <c r="G4" s="2">
        <f t="shared" si="8"/>
        <v>4</v>
      </c>
    </row>
    <row r="5">
      <c r="A5" s="2">
        <v>200</v>
      </c>
      <c r="B5" s="2">
        <v>8</v>
      </c>
      <c r="C5" s="2">
        <f>SUMPRODUCT((Parallel!$A$2:$A$17=A5)*(Parallel!$B$2:$B$17=B5)*Parallel!$F$2:$F$17)</f>
        <v>7.9551033333333336</v>
      </c>
      <c r="D5" s="2">
        <f>INDEX(Sequential!$E$2:$E$7,MATCH(A5,Sequential!$A$2:$A$7,0))</f>
        <v>8.1029800000000005</v>
      </c>
      <c r="E5" s="2">
        <f t="shared" si="6"/>
        <v>1.0185889058218813</v>
      </c>
      <c r="F5" s="2">
        <f t="shared" si="7"/>
        <v>0.12732361322773517</v>
      </c>
      <c r="G5" s="2">
        <f t="shared" si="8"/>
        <v>8</v>
      </c>
    </row>
    <row r="6">
      <c r="A6" s="2">
        <v>400</v>
      </c>
      <c r="B6" s="2">
        <v>1</v>
      </c>
      <c r="C6" s="2">
        <f>SUMPRODUCT((Parallel!$A$2:$A$17=A6)*(Parallel!$B$2:$B$17=B6)*Parallel!$F$2:$F$17)</f>
        <v>73.349833333333336</v>
      </c>
      <c r="D6" s="2">
        <f>INDEX(Sequential!$E$2:$E$7,MATCH(A6,Sequential!$A$2:$A$7,0))</f>
        <v>66.373666666666665</v>
      </c>
      <c r="E6" s="2">
        <f t="shared" si="6"/>
        <v>0.90489185387833182</v>
      </c>
      <c r="F6" s="2">
        <f t="shared" si="7"/>
        <v>0.90489185387833182</v>
      </c>
      <c r="G6" s="2">
        <f t="shared" si="8"/>
        <v>1</v>
      </c>
    </row>
    <row r="7">
      <c r="A7" s="2">
        <v>400</v>
      </c>
      <c r="B7" s="2">
        <v>2</v>
      </c>
      <c r="C7" s="2">
        <f>SUMPRODUCT((Parallel!$A$2:$A$17=A7)*(Parallel!$B$2:$B$17=B7)*Parallel!$F$2:$F$17)</f>
        <v>72.616299999999995</v>
      </c>
      <c r="D7" s="2">
        <f>INDEX(Sequential!$E$2:$E$7,MATCH(A7,Sequential!$A$2:$A$7,0))</f>
        <v>66.373666666666665</v>
      </c>
      <c r="E7" s="2">
        <f t="shared" si="6"/>
        <v>0.91403261618488785</v>
      </c>
      <c r="F7" s="2">
        <f t="shared" si="7"/>
        <v>0.45701630809244392</v>
      </c>
      <c r="G7" s="2">
        <f t="shared" si="8"/>
        <v>2</v>
      </c>
    </row>
    <row r="8">
      <c r="A8" s="2">
        <v>400</v>
      </c>
      <c r="B8" s="2">
        <v>4</v>
      </c>
      <c r="C8" s="2">
        <f>SUMPRODUCT((Parallel!$A$2:$A$17=A8)*(Parallel!$B$2:$B$17=B8)*Parallel!$F$2:$F$17)</f>
        <v>74.397866666666673</v>
      </c>
      <c r="D8" s="2">
        <f>INDEX(Sequential!$E$2:$E$7,MATCH(A8,Sequential!$A$2:$A$7,0))</f>
        <v>66.373666666666665</v>
      </c>
      <c r="E8" s="2">
        <f t="shared" si="6"/>
        <v>0.89214475683890571</v>
      </c>
      <c r="F8" s="2">
        <f t="shared" si="7"/>
        <v>0.22303618920972643</v>
      </c>
      <c r="G8" s="2">
        <f t="shared" si="8"/>
        <v>4</v>
      </c>
    </row>
    <row r="9">
      <c r="A9" s="2">
        <v>400</v>
      </c>
      <c r="B9" s="2">
        <v>8</v>
      </c>
      <c r="C9" s="2">
        <f>SUMPRODUCT((Parallel!$A$2:$A$17=A9)*(Parallel!$B$2:$B$17=B9)*Parallel!$F$2:$F$17)</f>
        <v>75.4499</v>
      </c>
      <c r="D9" s="2">
        <f>INDEX(Sequential!$E$2:$E$7,MATCH(A9,Sequential!$A$2:$A$7,0))</f>
        <v>66.373666666666665</v>
      </c>
      <c r="E9" s="2">
        <f t="shared" si="6"/>
        <v>0.87970516417737687</v>
      </c>
      <c r="F9" s="2">
        <f t="shared" si="7"/>
        <v>0.10996314552217211</v>
      </c>
      <c r="G9" s="2">
        <f t="shared" si="8"/>
        <v>8</v>
      </c>
    </row>
    <row r="10">
      <c r="A10" s="2">
        <v>800</v>
      </c>
      <c r="B10" s="2">
        <v>1</v>
      </c>
      <c r="C10" s="2">
        <f>SUMPRODUCT((Parallel!$A$2:$A$17=A10)*(Parallel!$B$2:$B$17=B10)*Parallel!$F$2:$F$17)</f>
        <v>777.31000000000006</v>
      </c>
      <c r="D10" s="2">
        <f>INDEX(Sequential!$E$2:$E$7,MATCH(A10,Sequential!$A$2:$A$7,0))</f>
        <v>998.69233333333329</v>
      </c>
      <c r="E10" s="2">
        <f t="shared" ref="E10:E17" si="9">D10/C10</f>
        <v>1.2848057188680619</v>
      </c>
      <c r="F10" s="2">
        <f t="shared" ref="F10:F17" si="10">E10/B10</f>
        <v>1.2848057188680619</v>
      </c>
      <c r="G10" s="2">
        <f t="shared" ref="G10:G17" si="11">B10</f>
        <v>1</v>
      </c>
    </row>
    <row r="11">
      <c r="A11" s="2">
        <v>800</v>
      </c>
      <c r="B11" s="2">
        <v>2</v>
      </c>
      <c r="C11" s="2">
        <f>SUMPRODUCT((Parallel!$A$2:$A$17=A11)*(Parallel!$B$2:$B$17=B11)*Parallel!$F$2:$F$17)</f>
        <v>834.79666666666662</v>
      </c>
      <c r="D11" s="2">
        <f>INDEX(Sequential!$E$2:$E$7,MATCH(A11,Sequential!$A$2:$A$7,0))</f>
        <v>998.69233333333329</v>
      </c>
      <c r="E11" s="2">
        <f t="shared" si="9"/>
        <v>1.19633004444196</v>
      </c>
      <c r="F11" s="2">
        <f t="shared" si="10"/>
        <v>0.59816502222098</v>
      </c>
      <c r="G11" s="2">
        <f t="shared" si="11"/>
        <v>2</v>
      </c>
    </row>
    <row r="12">
      <c r="A12" s="2">
        <v>800</v>
      </c>
      <c r="B12" s="2">
        <v>4</v>
      </c>
      <c r="C12" s="2">
        <f>SUMPRODUCT((Parallel!$A$2:$A$17=A12)*(Parallel!$B$2:$B$17=B12)*Parallel!$F$2:$F$17)</f>
        <v>777.90466666666669</v>
      </c>
      <c r="D12" s="2">
        <f>INDEX(Sequential!$E$2:$E$7,MATCH(A12,Sequential!$A$2:$A$7,0))</f>
        <v>998.69233333333329</v>
      </c>
      <c r="E12" s="2">
        <f t="shared" si="9"/>
        <v>1.2838235533574378</v>
      </c>
      <c r="F12" s="2">
        <f t="shared" si="10"/>
        <v>0.32095588833935945</v>
      </c>
      <c r="G12" s="2">
        <f t="shared" si="11"/>
        <v>4</v>
      </c>
    </row>
    <row r="13">
      <c r="A13" s="2">
        <v>800</v>
      </c>
      <c r="B13" s="2">
        <v>8</v>
      </c>
      <c r="C13" s="2">
        <f>SUMPRODUCT((Parallel!$A$2:$A$17=A13)*(Parallel!$B$2:$B$17=B13)*Parallel!$F$2:$F$17)</f>
        <v>727.48766666666666</v>
      </c>
      <c r="D13" s="2">
        <f>INDEX(Sequential!$E$2:$E$7,MATCH(A13,Sequential!$A$2:$A$7,0))</f>
        <v>998.69233333333329</v>
      </c>
      <c r="E13" s="2">
        <f t="shared" si="9"/>
        <v>1.3727962398446159</v>
      </c>
      <c r="F13" s="2">
        <f t="shared" si="10"/>
        <v>0.17159952998057698</v>
      </c>
      <c r="G13" s="2">
        <f t="shared" si="11"/>
        <v>8</v>
      </c>
    </row>
    <row r="14">
      <c r="A14" s="2">
        <v>1200</v>
      </c>
      <c r="B14" s="2">
        <v>1</v>
      </c>
      <c r="C14" s="2">
        <f>SUMPRODUCT((Parallel!$A$2:$A$17=A14)*(Parallel!$B$2:$B$17=B14)*Parallel!$F$2:$F$17)</f>
        <v>3548.6066666666666</v>
      </c>
      <c r="D14" s="2">
        <f>INDEX(Sequential!$E$2:$E$7,MATCH(A14,Sequential!$A$2:$A$7,0))</f>
        <v>3772.3066666666664</v>
      </c>
      <c r="E14" s="2">
        <f t="shared" si="9"/>
        <v>1.0630388265065538</v>
      </c>
      <c r="F14" s="2">
        <f t="shared" si="10"/>
        <v>1.0630388265065538</v>
      </c>
      <c r="G14" s="2">
        <f t="shared" si="11"/>
        <v>1</v>
      </c>
    </row>
    <row r="15">
      <c r="A15" s="2">
        <v>1200</v>
      </c>
      <c r="B15" s="2">
        <v>2</v>
      </c>
      <c r="C15" s="2">
        <f>SUMPRODUCT((Parallel!$A$2:$A$17=A15)*(Parallel!$B$2:$B$17=B15)*Parallel!$F$2:$F$17)</f>
        <v>4350.2666666666664</v>
      </c>
      <c r="D15" s="2">
        <f>INDEX(Sequential!$E$2:$E$7,MATCH(A15,Sequential!$A$2:$A$7,0))</f>
        <v>3772.3066666666664</v>
      </c>
      <c r="E15" s="2">
        <f t="shared" si="9"/>
        <v>0.86714377662672015</v>
      </c>
      <c r="F15" s="2">
        <f t="shared" si="10"/>
        <v>0.43357188831336008</v>
      </c>
      <c r="G15" s="2">
        <f t="shared" si="11"/>
        <v>2</v>
      </c>
    </row>
    <row r="16">
      <c r="A16" s="2">
        <v>1200</v>
      </c>
      <c r="B16" s="2">
        <v>4</v>
      </c>
      <c r="C16" s="2">
        <f>SUMPRODUCT((Parallel!$A$2:$A$17=A16)*(Parallel!$B$2:$B$17=B16)*Parallel!$F$2:$F$17)</f>
        <v>4279.1399999999994</v>
      </c>
      <c r="D16" s="2">
        <f>INDEX(Sequential!$E$2:$E$7,MATCH(A16,Sequential!$A$2:$A$7,0))</f>
        <v>3772.3066666666664</v>
      </c>
      <c r="E16" s="2">
        <f t="shared" si="9"/>
        <v>0.88155719763005347</v>
      </c>
      <c r="F16" s="2">
        <f t="shared" si="10"/>
        <v>0.22038929940751337</v>
      </c>
      <c r="G16" s="2">
        <f t="shared" si="11"/>
        <v>4</v>
      </c>
    </row>
    <row r="17">
      <c r="A17" s="2">
        <v>1200</v>
      </c>
      <c r="B17" s="2">
        <v>8</v>
      </c>
      <c r="C17" s="2">
        <f>SUMPRODUCT((Parallel!$A$2:$A$17=A17)*(Parallel!$B$2:$B$17=B17)*Parallel!$F$2:$F$17)</f>
        <v>4216.126666666667</v>
      </c>
      <c r="D17" s="2">
        <f>INDEX(Sequential!$E$2:$E$7,MATCH(A17,Sequential!$A$2:$A$7,0))</f>
        <v>3772.3066666666664</v>
      </c>
      <c r="E17" s="2">
        <f t="shared" si="9"/>
        <v>0.89473276419588899</v>
      </c>
      <c r="F17" s="2">
        <f t="shared" si="10"/>
        <v>0.11184159552448612</v>
      </c>
      <c r="G17" s="2">
        <f t="shared" si="11"/>
        <v>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2026-09-19T18:33:54Z</dcterms:created>
  <dcterms:modified xsi:type="dcterms:W3CDTF">2026-09-19T19:15:03Z</dcterms:modified>
</cp:coreProperties>
</file>